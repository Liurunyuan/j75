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torProject\"/>
    </mc:Choice>
  </mc:AlternateContent>
  <xr:revisionPtr revIDLastSave="0" documentId="13_ncr:1_{F7067CA6-DBF2-498C-A077-7E70BFDACD57}" xr6:coauthVersionLast="43" xr6:coauthVersionMax="43" xr10:uidLastSave="{00000000-0000-0000-0000-000000000000}"/>
  <bookViews>
    <workbookView xWindow="-108" yWindow="-13068" windowWidth="23256" windowHeight="12720" activeTab="1" xr2:uid="{2D8648D0-A186-4BB4-ADA4-61BCA1320A3D}"/>
  </bookViews>
  <sheets>
    <sheet name="Sheet1" sheetId="1" r:id="rId1"/>
    <sheet name="Sheet2" sheetId="2" r:id="rId2"/>
  </sheets>
  <definedNames>
    <definedName name="solver_adj" localSheetId="1" hidden="1">Sheet2!$L$51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Sheet2!$H$8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Sheet2!$S$51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hs1" localSheetId="1" hidden="1">Sheet2!$H$27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" i="2" l="1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3" i="2"/>
  <c r="P51" i="2" l="1"/>
  <c r="P50" i="2"/>
  <c r="P49" i="2"/>
  <c r="P13" i="2"/>
  <c r="P4" i="2" l="1"/>
  <c r="P5" i="2"/>
  <c r="P6" i="2"/>
  <c r="P7" i="2"/>
  <c r="P8" i="2"/>
  <c r="P9" i="2"/>
  <c r="P10" i="2"/>
  <c r="P11" i="2"/>
  <c r="P12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3" i="2"/>
</calcChain>
</file>

<file path=xl/sharedStrings.xml><?xml version="1.0" encoding="utf-8"?>
<sst xmlns="http://schemas.openxmlformats.org/spreadsheetml/2006/main" count="28" uniqueCount="20">
  <si>
    <t>控制器编号</t>
  </si>
  <si>
    <t>初始占空比</t>
  </si>
  <si>
    <t>结果</t>
  </si>
  <si>
    <t>烧管子</t>
  </si>
  <si>
    <t>800mV</t>
  </si>
  <si>
    <t>42.67A</t>
  </si>
  <si>
    <t>滤波前C72两端电压（实）</t>
  </si>
  <si>
    <t>滤波前电流（实）</t>
  </si>
  <si>
    <t>1.6V</t>
  </si>
  <si>
    <t>85.3A</t>
  </si>
  <si>
    <t>正常</t>
  </si>
  <si>
    <t>转速</t>
  </si>
  <si>
    <t>滤波前C72两端电压（虚）</t>
  </si>
  <si>
    <t>滤波前电流（虚）</t>
  </si>
  <si>
    <t>20V</t>
  </si>
  <si>
    <t>24V</t>
  </si>
  <si>
    <t>28V</t>
  </si>
  <si>
    <t>32V</t>
  </si>
  <si>
    <t>coeff</t>
  </si>
  <si>
    <t>coeff#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</si>
</sst>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"/>
    <numFmt numFmtId="165" formatCode="0.000000000000000"/>
  </numFmts>
  <fonts count="2" x14ac:knownFonts="1">
    <font>
      <sz val="11"/>
      <color theme="1"/>
      <name val="Calibri"/>
      <family val="2"/>
      <scheme val="minor"/>
    </font>
    <font>
      <sz val="9"/>
      <color rgb="FF59595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 readingOrder="1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intercept val="0"/>
            <c:dispRSqr val="0"/>
            <c:dispEq val="1"/>
            <c:trendlineLbl>
              <c:layout>
                <c:manualLayout>
                  <c:x val="4.9415135608048992E-2"/>
                  <c:y val="-7.5913167104112E-2"/>
                </c:manualLayout>
              </c:layout>
              <c:numFmt formatCode="#,##0.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Sheet2!$B$3:$B$13</c:f>
              <c:numCache>
                <c:formatCode>General</c:formatCode>
                <c:ptCount val="11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850</c:v>
                </c:pt>
                <c:pt idx="5">
                  <c:v>1000</c:v>
                </c:pt>
                <c:pt idx="6">
                  <c:v>1100</c:v>
                </c:pt>
                <c:pt idx="7">
                  <c:v>1150</c:v>
                </c:pt>
                <c:pt idx="8">
                  <c:v>1200</c:v>
                </c:pt>
                <c:pt idx="9">
                  <c:v>1400</c:v>
                </c:pt>
                <c:pt idx="10">
                  <c:v>1500</c:v>
                </c:pt>
              </c:numCache>
            </c:numRef>
          </c:xVal>
          <c:yVal>
            <c:numRef>
              <c:f>Sheet2!$C$3:$C$13</c:f>
              <c:numCache>
                <c:formatCode>General</c:formatCode>
                <c:ptCount val="11"/>
                <c:pt idx="0">
                  <c:v>1475</c:v>
                </c:pt>
                <c:pt idx="1">
                  <c:v>3680</c:v>
                </c:pt>
                <c:pt idx="2">
                  <c:v>5480</c:v>
                </c:pt>
                <c:pt idx="3">
                  <c:v>6840</c:v>
                </c:pt>
                <c:pt idx="5">
                  <c:v>7870</c:v>
                </c:pt>
                <c:pt idx="8">
                  <c:v>8770</c:v>
                </c:pt>
                <c:pt idx="9">
                  <c:v>9390</c:v>
                </c:pt>
                <c:pt idx="10">
                  <c:v>9650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24-4C16-BF9B-4B4115A9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008464"/>
        <c:axId val="799011664"/>
      </c:scatterChart>
      <c:valAx>
        <c:axId val="79900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011664"/>
        <c:crosses val="autoZero"/>
        <c:crossBetween val="midCat"/>
      </c:valAx>
      <c:valAx>
        <c:axId val="79901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00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intercept val="0"/>
            <c:dispRSqr val="0"/>
            <c:dispEq val="1"/>
            <c:trendlineLbl>
              <c:layout>
                <c:manualLayout>
                  <c:x val="6.6081802274715662E-2"/>
                  <c:y val="-8.9880796150481196E-2"/>
                </c:manualLayout>
              </c:layout>
              <c:numFmt formatCode="#,##0.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Sheet2!$B$3:$B$13</c:f>
              <c:numCache>
                <c:formatCode>General</c:formatCode>
                <c:ptCount val="11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850</c:v>
                </c:pt>
                <c:pt idx="5">
                  <c:v>1000</c:v>
                </c:pt>
                <c:pt idx="6">
                  <c:v>1100</c:v>
                </c:pt>
                <c:pt idx="7">
                  <c:v>1150</c:v>
                </c:pt>
                <c:pt idx="8">
                  <c:v>1200</c:v>
                </c:pt>
                <c:pt idx="9">
                  <c:v>1400</c:v>
                </c:pt>
                <c:pt idx="10">
                  <c:v>1500</c:v>
                </c:pt>
              </c:numCache>
            </c:numRef>
          </c:xVal>
          <c:yVal>
            <c:numRef>
              <c:f>Sheet2!$D$3:$D$13</c:f>
              <c:numCache>
                <c:formatCode>General</c:formatCode>
                <c:ptCount val="11"/>
                <c:pt idx="0">
                  <c:v>2040</c:v>
                </c:pt>
                <c:pt idx="1">
                  <c:v>4850</c:v>
                </c:pt>
                <c:pt idx="2">
                  <c:v>7020</c:v>
                </c:pt>
                <c:pt idx="3">
                  <c:v>8530</c:v>
                </c:pt>
                <c:pt idx="4">
                  <c:v>8900</c:v>
                </c:pt>
                <c:pt idx="5">
                  <c:v>9590</c:v>
                </c:pt>
                <c:pt idx="6">
                  <c:v>10100</c:v>
                </c:pt>
                <c:pt idx="7">
                  <c:v>10350</c:v>
                </c:pt>
                <c:pt idx="8">
                  <c:v>10570</c:v>
                </c:pt>
                <c:pt idx="9">
                  <c:v>11290</c:v>
                </c:pt>
                <c:pt idx="10">
                  <c:v>11620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00-4B65-8E3E-4C7C9743A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570552"/>
        <c:axId val="678568312"/>
      </c:scatterChart>
      <c:valAx>
        <c:axId val="67857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68312"/>
        <c:crosses val="autoZero"/>
        <c:crossBetween val="midCat"/>
      </c:valAx>
      <c:valAx>
        <c:axId val="678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28V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intercept val="0"/>
            <c:dispRSqr val="0"/>
            <c:dispEq val="1"/>
            <c:trendlineLbl>
              <c:layout>
                <c:manualLayout>
                  <c:x val="0.14968336211859529"/>
                  <c:y val="-9.518113223044844E-2"/>
                </c:manualLayout>
              </c:layout>
              <c:numFmt formatCode="#,##0.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Sheet2!$B$3:$B$10</c:f>
              <c:numCache>
                <c:formatCode>General</c:formatCode>
                <c:ptCount val="8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850</c:v>
                </c:pt>
                <c:pt idx="5">
                  <c:v>1000</c:v>
                </c:pt>
                <c:pt idx="6">
                  <c:v>1100</c:v>
                </c:pt>
                <c:pt idx="7">
                  <c:v>1150</c:v>
                </c:pt>
              </c:numCache>
            </c:numRef>
          </c:xVal>
          <c:yVal>
            <c:numRef>
              <c:f>Sheet2!$E$3:$E$10</c:f>
              <c:numCache>
                <c:formatCode>General</c:formatCode>
                <c:ptCount val="8"/>
                <c:pt idx="0">
                  <c:v>2300</c:v>
                </c:pt>
                <c:pt idx="1">
                  <c:v>5550</c:v>
                </c:pt>
                <c:pt idx="2">
                  <c:v>8360</c:v>
                </c:pt>
                <c:pt idx="3">
                  <c:v>10000</c:v>
                </c:pt>
                <c:pt idx="5">
                  <c:v>11154</c:v>
                </c:pt>
                <c:pt idx="7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89-4B00-9503-B42945AA1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036464"/>
        <c:axId val="637036784"/>
      </c:scatterChart>
      <c:valAx>
        <c:axId val="63703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036784"/>
        <c:crosses val="autoZero"/>
        <c:crossBetween val="midCat"/>
      </c:valAx>
      <c:valAx>
        <c:axId val="63703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03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32V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intercept val="0"/>
            <c:dispRSqr val="0"/>
            <c:dispEq val="1"/>
            <c:trendlineLbl>
              <c:layout>
                <c:manualLayout>
                  <c:x val="3.938481135453923E-2"/>
                  <c:y val="-0.11339497834737185"/>
                </c:manualLayout>
              </c:layout>
              <c:numFmt formatCode="#,##0.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Sheet2!$B$3:$B$7</c:f>
              <c:numCache>
                <c:formatCode>General</c:formatCode>
                <c:ptCount val="5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850</c:v>
                </c:pt>
              </c:numCache>
            </c:numRef>
          </c:xVal>
          <c:yVal>
            <c:numRef>
              <c:f>Sheet2!$F$3:$F$7</c:f>
              <c:numCache>
                <c:formatCode>General</c:formatCode>
                <c:ptCount val="5"/>
                <c:pt idx="0">
                  <c:v>3270</c:v>
                </c:pt>
                <c:pt idx="1">
                  <c:v>7220</c:v>
                </c:pt>
                <c:pt idx="2">
                  <c:v>9950</c:v>
                </c:pt>
                <c:pt idx="3">
                  <c:v>11690</c:v>
                </c:pt>
                <c:pt idx="4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4-45FB-89E2-3F5D69536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94840"/>
        <c:axId val="722295160"/>
      </c:scatterChart>
      <c:valAx>
        <c:axId val="72229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95160"/>
        <c:crosses val="autoZero"/>
        <c:crossBetween val="midCat"/>
      </c:valAx>
      <c:valAx>
        <c:axId val="7222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9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56</xdr:row>
      <xdr:rowOff>19050</xdr:rowOff>
    </xdr:from>
    <xdr:to>
      <xdr:col>7</xdr:col>
      <xdr:colOff>190500</xdr:colOff>
      <xdr:row>71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111A81-FB4D-4ED9-B59D-60EF9A5A3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57150</xdr:rowOff>
    </xdr:from>
    <xdr:to>
      <xdr:col>7</xdr:col>
      <xdr:colOff>190500</xdr:colOff>
      <xdr:row>55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0AABE7-CB7E-4DF5-A1E1-702CB51B58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26</xdr:row>
      <xdr:rowOff>125730</xdr:rowOff>
    </xdr:from>
    <xdr:to>
      <xdr:col>7</xdr:col>
      <xdr:colOff>144780</xdr:colOff>
      <xdr:row>41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169F9F-9B6B-4657-81C7-1006F89B5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11</xdr:row>
      <xdr:rowOff>110490</xdr:rowOff>
    </xdr:from>
    <xdr:to>
      <xdr:col>7</xdr:col>
      <xdr:colOff>144780</xdr:colOff>
      <xdr:row>26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F2A149-7150-4C88-A4AD-BC4CAEBF71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C91E-B186-4464-A241-EB02FED19A5A}">
  <sheetPr codeName="Sheet1"/>
  <dimension ref="B3:I6"/>
  <sheetViews>
    <sheetView workbookViewId="0">
      <selection activeCell="E8" sqref="E8"/>
    </sheetView>
  </sheetViews>
  <sheetFormatPr defaultRowHeight="14.4" x14ac:dyDescent="0.3"/>
  <cols>
    <col min="2" max="3" width="11" bestFit="1" customWidth="1"/>
    <col min="4" max="4" width="24.44140625" bestFit="1" customWidth="1"/>
    <col min="5" max="5" width="17.21875" bestFit="1" customWidth="1"/>
    <col min="6" max="6" width="24.44140625" bestFit="1" customWidth="1"/>
    <col min="7" max="7" width="17.21875" bestFit="1" customWidth="1"/>
  </cols>
  <sheetData>
    <row r="3" spans="2:9" x14ac:dyDescent="0.3">
      <c r="C3" s="1">
        <v>43594</v>
      </c>
      <c r="D3" s="1"/>
      <c r="E3" s="1"/>
      <c r="F3" s="1"/>
    </row>
    <row r="4" spans="2:9" x14ac:dyDescent="0.3">
      <c r="B4" t="s">
        <v>0</v>
      </c>
      <c r="C4" t="s">
        <v>1</v>
      </c>
      <c r="D4" t="s">
        <v>12</v>
      </c>
      <c r="E4" t="s">
        <v>13</v>
      </c>
      <c r="F4" t="s">
        <v>6</v>
      </c>
      <c r="G4" t="s">
        <v>7</v>
      </c>
      <c r="H4" t="s">
        <v>2</v>
      </c>
      <c r="I4" t="s">
        <v>11</v>
      </c>
    </row>
    <row r="5" spans="2:9" x14ac:dyDescent="0.3">
      <c r="B5">
        <v>10</v>
      </c>
      <c r="C5">
        <v>500</v>
      </c>
      <c r="H5" t="s">
        <v>3</v>
      </c>
    </row>
    <row r="6" spans="2:9" x14ac:dyDescent="0.3">
      <c r="B6">
        <v>6</v>
      </c>
      <c r="C6">
        <v>200</v>
      </c>
      <c r="D6" t="s">
        <v>8</v>
      </c>
      <c r="E6" t="s">
        <v>9</v>
      </c>
      <c r="F6" t="s">
        <v>4</v>
      </c>
      <c r="G6" t="s">
        <v>5</v>
      </c>
      <c r="H6" t="s">
        <v>10</v>
      </c>
      <c r="I6">
        <v>2300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48798-6E4A-4B7E-8B4B-BFAE59DFB5B1}">
  <sheetPr codeName="Sheet2"/>
  <dimension ref="B2:S51"/>
  <sheetViews>
    <sheetView tabSelected="1" topLeftCell="C1" workbookViewId="0">
      <selection activeCell="O10" sqref="O10"/>
    </sheetView>
  </sheetViews>
  <sheetFormatPr defaultRowHeight="14.4" x14ac:dyDescent="0.3"/>
  <cols>
    <col min="9" max="9" width="12.6640625" bestFit="1" customWidth="1"/>
    <col min="14" max="14" width="18.44140625" style="3" bestFit="1" customWidth="1"/>
    <col min="15" max="15" width="15.33203125" style="3" customWidth="1"/>
    <col min="16" max="17" width="17.44140625" style="3" bestFit="1" customWidth="1"/>
    <col min="18" max="18" width="16.33203125" style="3" bestFit="1" customWidth="1"/>
    <col min="19" max="19" width="15.33203125" bestFit="1" customWidth="1"/>
  </cols>
  <sheetData>
    <row r="2" spans="2:19" x14ac:dyDescent="0.3">
      <c r="C2" t="s">
        <v>14</v>
      </c>
      <c r="D2" t="s">
        <v>15</v>
      </c>
      <c r="E2" t="s">
        <v>16</v>
      </c>
      <c r="F2" t="s">
        <v>17</v>
      </c>
      <c r="I2" t="s">
        <v>14</v>
      </c>
      <c r="J2" t="s">
        <v>15</v>
      </c>
      <c r="K2" t="s">
        <v>16</v>
      </c>
      <c r="L2" t="s">
        <v>17</v>
      </c>
      <c r="M2" t="s">
        <v>19</v>
      </c>
      <c r="N2" s="3" t="s">
        <v>18</v>
      </c>
      <c r="P2" s="3" t="s">
        <v>14</v>
      </c>
      <c r="Q2" s="3" t="s">
        <v>15</v>
      </c>
      <c r="R2" s="3" t="s">
        <v>16</v>
      </c>
      <c r="S2" s="3" t="s">
        <v>17</v>
      </c>
    </row>
    <row r="3" spans="2:19" x14ac:dyDescent="0.3">
      <c r="B3">
        <v>200</v>
      </c>
      <c r="C3">
        <v>1475</v>
      </c>
      <c r="D3">
        <v>2040</v>
      </c>
      <c r="E3">
        <v>2300</v>
      </c>
      <c r="F3">
        <v>3270</v>
      </c>
      <c r="H3">
        <v>500</v>
      </c>
      <c r="I3">
        <v>88.386235592964113</v>
      </c>
      <c r="J3">
        <v>65.548771758745289</v>
      </c>
      <c r="K3">
        <v>67.527811817187427</v>
      </c>
      <c r="L3">
        <v>42.325904276597299</v>
      </c>
      <c r="M3">
        <v>5</v>
      </c>
      <c r="N3" s="4">
        <v>-7.3029999999999999E-12</v>
      </c>
      <c r="P3" s="3">
        <f>-0.000000000007303*I3^5+0.000000031342148*I3^4+-0.000048542764434*I3^3+0.028915865779595*I3^2+3.45925155053555*I3-H3</f>
        <v>-2.392753231106326E-7</v>
      </c>
      <c r="Q3" s="3">
        <f>-0.000000000009651*J3^5+0.000000041293018*J3^4+-0.000062623309924*J3^3+0.035022888216759*J3^2+5.58981901516381*J3-H3</f>
        <v>-1.8025571080215741E-7</v>
      </c>
      <c r="R3" s="3">
        <f>-0.000000000009952*K3^5+0.000000050354217*K3^4+-0.000083604402688*K3^3+0.049940360188884*K3^2+4.39793140889378*K3-H3</f>
        <v>6.3610275446990272E-7</v>
      </c>
      <c r="S3" s="3">
        <f>0*L3^5+0.000000043614426*L3^4+-0.000088176765988*L3^3+0.048420491927374*L3^2+9.91831558679405*L3-H3</f>
        <v>1.6692843018972781E-7</v>
      </c>
    </row>
    <row r="4" spans="2:19" x14ac:dyDescent="0.3">
      <c r="B4">
        <v>400</v>
      </c>
      <c r="C4">
        <v>3680</v>
      </c>
      <c r="D4">
        <v>4850</v>
      </c>
      <c r="E4">
        <v>5550</v>
      </c>
      <c r="F4">
        <v>7220</v>
      </c>
      <c r="H4">
        <v>700</v>
      </c>
      <c r="I4">
        <v>113.5943916059654</v>
      </c>
      <c r="J4">
        <v>85.793154579274272</v>
      </c>
      <c r="K4">
        <v>86.256391749064008</v>
      </c>
      <c r="L4">
        <v>56.534583015155853</v>
      </c>
      <c r="M4">
        <v>4</v>
      </c>
      <c r="N4" s="4">
        <v>3.1342147999999998E-8</v>
      </c>
      <c r="P4" s="3">
        <f t="shared" ref="P4:P48" si="0">-0.000000000007303*I4^5+0.000000031342148*I4^4+-0.000048542764434*I4^3+0.028915865779595*I4^2+3.45925155053555*I4-H4</f>
        <v>-4.249470748618478E-7</v>
      </c>
      <c r="Q4" s="3">
        <f t="shared" ref="Q4:Q51" si="1">-0.000000000009651*J4^5+0.000000041293018*J4^4+-0.000062623309924*J4^3+0.035022888216759*J4^2+5.58981901516381*J4-H4</f>
        <v>4.9293794290861115E-7</v>
      </c>
      <c r="R4" s="3">
        <f t="shared" ref="R4:R51" si="2">-0.000000000009952*K4^5+0.000000050354217*K4^4+-0.000083604402688*K4^3+0.049940360188884*K4^2+4.39793140889378*K4-H4</f>
        <v>5.7506849771016277E-7</v>
      </c>
      <c r="S4" s="3">
        <f t="shared" ref="S4:S51" si="3">0*L4^5+0.000000043614426*L4^4+-0.000088176765988*L4^3+0.048420491927374*L4^2+9.91831558679405*L4-H4</f>
        <v>6.3776371916901553E-7</v>
      </c>
    </row>
    <row r="5" spans="2:19" x14ac:dyDescent="0.3">
      <c r="B5">
        <v>600</v>
      </c>
      <c r="C5">
        <v>5480</v>
      </c>
      <c r="D5">
        <v>7020</v>
      </c>
      <c r="E5">
        <v>8360</v>
      </c>
      <c r="F5">
        <v>9950</v>
      </c>
      <c r="H5">
        <v>900</v>
      </c>
      <c r="I5">
        <v>136.7200014357833</v>
      </c>
      <c r="J5">
        <v>104.50587070789645</v>
      </c>
      <c r="K5">
        <v>103.24502287535491</v>
      </c>
      <c r="L5">
        <v>69.848276431580842</v>
      </c>
      <c r="M5">
        <v>3</v>
      </c>
      <c r="N5" s="4">
        <v>-4.8542764433999997E-5</v>
      </c>
      <c r="P5" s="3">
        <f t="shared" si="0"/>
        <v>4.445424792720587E-7</v>
      </c>
      <c r="Q5" s="3">
        <f t="shared" si="1"/>
        <v>3.8332132135110442E-8</v>
      </c>
      <c r="R5" s="3">
        <f t="shared" si="2"/>
        <v>5.1558117775130086E-9</v>
      </c>
      <c r="S5" s="3">
        <f t="shared" si="3"/>
        <v>-2.2400320176529931E-7</v>
      </c>
    </row>
    <row r="6" spans="2:19" x14ac:dyDescent="0.3">
      <c r="B6">
        <v>800</v>
      </c>
      <c r="C6">
        <v>6840</v>
      </c>
      <c r="D6">
        <v>8530</v>
      </c>
      <c r="E6">
        <v>10000</v>
      </c>
      <c r="F6">
        <v>11690</v>
      </c>
      <c r="H6">
        <v>1100</v>
      </c>
      <c r="I6">
        <v>158.44895279017945</v>
      </c>
      <c r="J6">
        <v>122.13661279471697</v>
      </c>
      <c r="K6">
        <v>119.03576670269548</v>
      </c>
      <c r="L6">
        <v>82.479584976703777</v>
      </c>
      <c r="M6">
        <v>2</v>
      </c>
      <c r="N6" s="4">
        <v>2.8915865779594999E-2</v>
      </c>
      <c r="P6" s="3">
        <f t="shared" si="0"/>
        <v>8.627980605524499E-7</v>
      </c>
      <c r="Q6" s="3">
        <f t="shared" si="1"/>
        <v>9.5883706308086403E-8</v>
      </c>
      <c r="R6" s="3">
        <f t="shared" si="2"/>
        <v>-7.1775048127165064E-8</v>
      </c>
      <c r="S6" s="3">
        <f t="shared" si="3"/>
        <v>-4.5470892473531421E-7</v>
      </c>
    </row>
    <row r="7" spans="2:19" x14ac:dyDescent="0.3">
      <c r="B7">
        <v>850</v>
      </c>
      <c r="D7">
        <v>8900</v>
      </c>
      <c r="F7">
        <v>12000</v>
      </c>
      <c r="H7">
        <v>1300</v>
      </c>
      <c r="I7">
        <v>179.19080946071452</v>
      </c>
      <c r="J7">
        <v>138.96752357076579</v>
      </c>
      <c r="K7">
        <v>133.94935448786202</v>
      </c>
      <c r="L7">
        <v>94.573976380615747</v>
      </c>
      <c r="M7">
        <v>1</v>
      </c>
      <c r="N7" s="4">
        <v>3.4592515505355501</v>
      </c>
      <c r="P7" s="3">
        <f t="shared" si="0"/>
        <v>-2.948811470560031E-7</v>
      </c>
      <c r="Q7" s="3">
        <f t="shared" si="1"/>
        <v>1.4482020560535602E-7</v>
      </c>
      <c r="R7" s="3">
        <f t="shared" si="2"/>
        <v>-1.4340048437588848E-7</v>
      </c>
      <c r="S7" s="3">
        <f t="shared" si="3"/>
        <v>5.6601038522785529E-7</v>
      </c>
    </row>
    <row r="8" spans="2:19" x14ac:dyDescent="0.3">
      <c r="B8">
        <v>1000</v>
      </c>
      <c r="C8">
        <v>7870</v>
      </c>
      <c r="D8">
        <v>9590</v>
      </c>
      <c r="E8">
        <v>11154</v>
      </c>
      <c r="H8">
        <v>1500</v>
      </c>
      <c r="I8">
        <v>199.2156272103291</v>
      </c>
      <c r="J8">
        <v>155.19034331304539</v>
      </c>
      <c r="K8">
        <v>148.19470632119766</v>
      </c>
      <c r="L8">
        <v>106.23642695885381</v>
      </c>
      <c r="P8" s="3">
        <f t="shared" si="0"/>
        <v>-3.3523519959999248E-8</v>
      </c>
      <c r="Q8" s="3">
        <f t="shared" si="1"/>
        <v>-6.1713581089861691E-7</v>
      </c>
      <c r="R8" s="3">
        <f t="shared" si="2"/>
        <v>4.1378325477126054E-7</v>
      </c>
      <c r="S8" s="3">
        <f t="shared" si="3"/>
        <v>1.3521116670744959E-7</v>
      </c>
    </row>
    <row r="9" spans="2:19" x14ac:dyDescent="0.3">
      <c r="B9">
        <v>1100</v>
      </c>
      <c r="D9">
        <v>10100</v>
      </c>
      <c r="H9">
        <v>1700</v>
      </c>
      <c r="I9">
        <v>218.71468457813683</v>
      </c>
      <c r="J9">
        <v>170.9432660176679</v>
      </c>
      <c r="K9">
        <v>161.91738037865815</v>
      </c>
      <c r="L9">
        <v>117.54587146162417</v>
      </c>
      <c r="M9">
        <v>5</v>
      </c>
      <c r="N9" s="4">
        <v>-9.6510000000000008E-12</v>
      </c>
      <c r="P9" s="3">
        <f t="shared" si="0"/>
        <v>5.0259131967322901E-7</v>
      </c>
      <c r="Q9" s="3">
        <f t="shared" si="1"/>
        <v>5.1951906243630219E-7</v>
      </c>
      <c r="R9" s="3">
        <f t="shared" si="2"/>
        <v>1.8172863747167867E-7</v>
      </c>
      <c r="S9" s="3">
        <f t="shared" si="3"/>
        <v>5.2645646064775065E-8</v>
      </c>
    </row>
    <row r="10" spans="2:19" x14ac:dyDescent="0.3">
      <c r="B10">
        <v>1150</v>
      </c>
      <c r="D10">
        <v>10350</v>
      </c>
      <c r="E10">
        <v>12000</v>
      </c>
      <c r="H10">
        <v>1900</v>
      </c>
      <c r="I10">
        <v>237.83124626457828</v>
      </c>
      <c r="J10">
        <v>186.33058162658534</v>
      </c>
      <c r="K10">
        <v>175.22403483249619</v>
      </c>
      <c r="L10">
        <v>128.56365670455386</v>
      </c>
      <c r="M10">
        <v>4</v>
      </c>
      <c r="N10" s="4">
        <v>4.1293017999999997E-8</v>
      </c>
      <c r="P10" s="3">
        <f t="shared" si="0"/>
        <v>-4.8514402806176804E-7</v>
      </c>
      <c r="Q10" s="3">
        <f t="shared" si="1"/>
        <v>3.8633129406662192E-7</v>
      </c>
      <c r="R10" s="3">
        <f t="shared" si="2"/>
        <v>-2.4203882276196964E-7</v>
      </c>
      <c r="S10" s="3">
        <f t="shared" si="3"/>
        <v>-1.1239740160817746E-7</v>
      </c>
    </row>
    <row r="11" spans="2:19" x14ac:dyDescent="0.3">
      <c r="B11">
        <v>1200</v>
      </c>
      <c r="C11">
        <v>8770</v>
      </c>
      <c r="D11">
        <v>10570</v>
      </c>
      <c r="H11">
        <v>2100</v>
      </c>
      <c r="I11">
        <v>256.67769734426372</v>
      </c>
      <c r="J11">
        <v>201.43402582176188</v>
      </c>
      <c r="K11">
        <v>188.19599486041082</v>
      </c>
      <c r="L11">
        <v>139.33878773018481</v>
      </c>
      <c r="M11">
        <v>3</v>
      </c>
      <c r="N11" s="4">
        <v>-6.2623309923999997E-5</v>
      </c>
      <c r="P11" s="3">
        <f t="shared" si="0"/>
        <v>1.4385432223207317E-7</v>
      </c>
      <c r="Q11" s="3">
        <f t="shared" si="1"/>
        <v>4.8651190809323452E-7</v>
      </c>
      <c r="R11" s="3">
        <f t="shared" si="2"/>
        <v>7.3218416218878701E-8</v>
      </c>
      <c r="S11" s="3">
        <f t="shared" si="3"/>
        <v>-5.0449398258933797E-7</v>
      </c>
    </row>
    <row r="12" spans="2:19" x14ac:dyDescent="0.3">
      <c r="B12">
        <v>1400</v>
      </c>
      <c r="C12">
        <v>9390</v>
      </c>
      <c r="D12">
        <v>11290</v>
      </c>
      <c r="H12">
        <v>2300</v>
      </c>
      <c r="I12">
        <v>275.34580724013307</v>
      </c>
      <c r="J12">
        <v>216.31976043482499</v>
      </c>
      <c r="K12">
        <v>200.89732939350267</v>
      </c>
      <c r="L12">
        <v>149.91134059979197</v>
      </c>
      <c r="M12">
        <v>2</v>
      </c>
      <c r="N12" s="4">
        <v>3.5022888216759002E-2</v>
      </c>
      <c r="P12" s="3">
        <f t="shared" si="0"/>
        <v>2.7281294023850933E-7</v>
      </c>
      <c r="Q12" s="3">
        <f t="shared" si="1"/>
        <v>4.7428329708054662E-8</v>
      </c>
      <c r="R12" s="3">
        <f t="shared" si="2"/>
        <v>-6.9827365223318338E-8</v>
      </c>
      <c r="S12" s="3">
        <f t="shared" si="3"/>
        <v>4.343955879448913E-7</v>
      </c>
    </row>
    <row r="13" spans="2:19" x14ac:dyDescent="0.3">
      <c r="B13">
        <v>1500</v>
      </c>
      <c r="C13">
        <v>9650</v>
      </c>
      <c r="D13">
        <v>11620</v>
      </c>
      <c r="H13">
        <v>2500</v>
      </c>
      <c r="I13">
        <v>293.91325686562874</v>
      </c>
      <c r="J13">
        <v>231.0428912653168</v>
      </c>
      <c r="K13">
        <v>213.37993509303575</v>
      </c>
      <c r="L13">
        <v>160.31477034728255</v>
      </c>
      <c r="M13">
        <v>1</v>
      </c>
      <c r="N13" s="4">
        <v>5.5898190151638101</v>
      </c>
      <c r="P13" s="3">
        <f>-0.000000000007303*I13^5+0.000000031342148*I13^4+-0.000048542764434*I13^3+0.028915865779595*I13^2+3.45925155053555*I13-H13</f>
        <v>-1.9392291505937465E-7</v>
      </c>
      <c r="Q13" s="3">
        <f t="shared" si="1"/>
        <v>-3.7800418795086443E-8</v>
      </c>
      <c r="R13" s="3">
        <f t="shared" si="2"/>
        <v>1.5872774383751675E-7</v>
      </c>
      <c r="S13" s="3">
        <f t="shared" si="3"/>
        <v>-2.5552708393661305E-7</v>
      </c>
    </row>
    <row r="14" spans="2:19" x14ac:dyDescent="0.3">
      <c r="H14">
        <v>2700</v>
      </c>
      <c r="I14">
        <v>312.44800637622768</v>
      </c>
      <c r="J14">
        <v>245.65051868765312</v>
      </c>
      <c r="K14">
        <v>225.68688415398822</v>
      </c>
      <c r="L14">
        <v>170.57752500077584</v>
      </c>
      <c r="P14" s="3">
        <f t="shared" si="0"/>
        <v>-7.8440643846988678E-7</v>
      </c>
      <c r="Q14" s="3">
        <f t="shared" si="1"/>
        <v>1.119947228289675E-7</v>
      </c>
      <c r="R14" s="3">
        <f t="shared" si="2"/>
        <v>7.0457281253766268E-7</v>
      </c>
      <c r="S14" s="3">
        <f t="shared" si="3"/>
        <v>-5.3902112995274365E-7</v>
      </c>
    </row>
    <row r="15" spans="2:19" x14ac:dyDescent="0.3">
      <c r="H15">
        <v>2900</v>
      </c>
      <c r="I15">
        <v>331.01135899134937</v>
      </c>
      <c r="J15">
        <v>260.18387635210712</v>
      </c>
      <c r="K15">
        <v>237.85471444456132</v>
      </c>
      <c r="L15">
        <v>180.72420565751065</v>
      </c>
      <c r="M15">
        <v>5</v>
      </c>
      <c r="N15" s="4">
        <v>-9.9519999999999996E-12</v>
      </c>
      <c r="P15" s="3">
        <f t="shared" si="0"/>
        <v>-8.8201704784296453E-7</v>
      </c>
      <c r="Q15" s="3">
        <f t="shared" si="1"/>
        <v>-2.6564248400973156E-7</v>
      </c>
      <c r="R15" s="3">
        <f t="shared" si="2"/>
        <v>-8.1122288975166157E-7</v>
      </c>
      <c r="S15" s="3">
        <f t="shared" si="3"/>
        <v>-3.6046731111127883E-7</v>
      </c>
    </row>
    <row r="16" spans="2:19" x14ac:dyDescent="0.3">
      <c r="H16">
        <v>3100</v>
      </c>
      <c r="I16">
        <v>349.66021034287536</v>
      </c>
      <c r="J16">
        <v>274.67988256761168</v>
      </c>
      <c r="K16">
        <v>249.9150489109349</v>
      </c>
      <c r="L16">
        <v>190.77642242780018</v>
      </c>
      <c r="M16">
        <v>4</v>
      </c>
      <c r="N16" s="4">
        <v>5.0354217000000002E-8</v>
      </c>
      <c r="P16" s="3">
        <f t="shared" si="0"/>
        <v>-4.1092971514444798E-7</v>
      </c>
      <c r="Q16" s="3">
        <f t="shared" si="1"/>
        <v>-1.7412912711733952E-7</v>
      </c>
      <c r="R16" s="3">
        <f t="shared" si="2"/>
        <v>6.4706000557634979E-8</v>
      </c>
      <c r="S16" s="3">
        <f t="shared" si="3"/>
        <v>-7.395992724923417E-7</v>
      </c>
    </row>
    <row r="17" spans="2:19" x14ac:dyDescent="0.3">
      <c r="H17">
        <v>3300</v>
      </c>
      <c r="I17">
        <v>368.44877835948779</v>
      </c>
      <c r="J17">
        <v>289.17230238938282</v>
      </c>
      <c r="K17">
        <v>261.89577287525032</v>
      </c>
      <c r="L17">
        <v>200.75344051504916</v>
      </c>
      <c r="M17">
        <v>3</v>
      </c>
      <c r="N17" s="4">
        <v>-8.3604402688000005E-5</v>
      </c>
      <c r="P17" s="3">
        <f t="shared" si="0"/>
        <v>5.5844338930910453E-8</v>
      </c>
      <c r="Q17" s="3">
        <f t="shared" si="1"/>
        <v>4.0778559196041897E-7</v>
      </c>
      <c r="R17" s="3">
        <f t="shared" si="2"/>
        <v>2.8231534088263288E-7</v>
      </c>
      <c r="S17" s="3">
        <f t="shared" si="3"/>
        <v>3.4693221095949411E-7</v>
      </c>
    </row>
    <row r="18" spans="2:19" x14ac:dyDescent="0.3">
      <c r="H18">
        <v>3500</v>
      </c>
      <c r="I18">
        <v>387.42999972227301</v>
      </c>
      <c r="J18">
        <v>303.69264711497948</v>
      </c>
      <c r="K18">
        <v>273.82191549331202</v>
      </c>
      <c r="L18">
        <v>210.67267767030523</v>
      </c>
      <c r="M18">
        <v>2</v>
      </c>
      <c r="N18" s="4">
        <v>4.9940360188884002E-2</v>
      </c>
      <c r="P18" s="3">
        <f t="shared" si="0"/>
        <v>-1.5773093764437363E-7</v>
      </c>
      <c r="Q18" s="3">
        <f t="shared" si="1"/>
        <v>-4.5209162635728717E-8</v>
      </c>
      <c r="R18" s="3">
        <f t="shared" si="2"/>
        <v>3.1743365980219096E-7</v>
      </c>
      <c r="S18" s="3">
        <f t="shared" si="3"/>
        <v>-8.6580166680505499E-7</v>
      </c>
    </row>
    <row r="19" spans="2:19" x14ac:dyDescent="0.3">
      <c r="H19">
        <v>3700</v>
      </c>
      <c r="I19">
        <v>406.65671565318507</v>
      </c>
      <c r="J19">
        <v>318.27089448194783</v>
      </c>
      <c r="K19">
        <v>285.71632501423096</v>
      </c>
      <c r="L19">
        <v>220.55009665009638</v>
      </c>
      <c r="M19">
        <v>1</v>
      </c>
      <c r="N19" s="4">
        <v>4.39793140889378</v>
      </c>
      <c r="P19" s="3">
        <f t="shared" si="0"/>
        <v>4.0489749153493904E-7</v>
      </c>
      <c r="Q19" s="3">
        <f t="shared" si="1"/>
        <v>-2.507113094907254E-8</v>
      </c>
      <c r="R19" s="3">
        <f t="shared" si="2"/>
        <v>-6.5084441303042695E-7</v>
      </c>
      <c r="S19" s="3">
        <f t="shared" si="3"/>
        <v>1.8175342120230198E-8</v>
      </c>
    </row>
    <row r="20" spans="2:19" x14ac:dyDescent="0.3">
      <c r="H20">
        <v>3900</v>
      </c>
      <c r="I20">
        <v>426.18273077959213</v>
      </c>
      <c r="J20">
        <v>332.93608514138862</v>
      </c>
      <c r="K20">
        <v>297.60020045175293</v>
      </c>
      <c r="L20">
        <v>230.40051900978958</v>
      </c>
      <c r="P20" s="3">
        <f t="shared" si="0"/>
        <v>8.4506064013112336E-7</v>
      </c>
      <c r="Q20" s="3">
        <f t="shared" si="1"/>
        <v>2.7235182642471045E-7</v>
      </c>
      <c r="R20" s="3">
        <f t="shared" si="2"/>
        <v>-7.93325398262823E-7</v>
      </c>
      <c r="S20" s="3">
        <f t="shared" si="3"/>
        <v>3.9471615309594199E-8</v>
      </c>
    </row>
    <row r="21" spans="2:19" x14ac:dyDescent="0.3">
      <c r="B21" s="2"/>
      <c r="H21">
        <v>4100</v>
      </c>
      <c r="I21">
        <v>446.06380729869613</v>
      </c>
      <c r="J21">
        <v>347.71683642155131</v>
      </c>
      <c r="K21">
        <v>309.49352037579467</v>
      </c>
      <c r="L21">
        <v>240.23788349633716</v>
      </c>
      <c r="M21">
        <v>5</v>
      </c>
      <c r="N21" s="4">
        <v>0</v>
      </c>
      <c r="P21" s="3">
        <f t="shared" si="0"/>
        <v>4.3105046643177047E-7</v>
      </c>
      <c r="Q21" s="3">
        <f t="shared" si="1"/>
        <v>-9.8581222118809819E-7</v>
      </c>
      <c r="R21" s="3">
        <f t="shared" si="2"/>
        <v>6.9694578996859491E-8</v>
      </c>
      <c r="S21" s="3">
        <f t="shared" si="3"/>
        <v>2.4640939955133945E-8</v>
      </c>
    </row>
    <row r="22" spans="2:19" x14ac:dyDescent="0.3">
      <c r="H22">
        <v>4300</v>
      </c>
      <c r="I22">
        <v>466.35863937289639</v>
      </c>
      <c r="J22">
        <v>362.64180296922586</v>
      </c>
      <c r="K22">
        <v>321.41539884060126</v>
      </c>
      <c r="L22">
        <v>250.07546175016387</v>
      </c>
      <c r="M22">
        <v>4</v>
      </c>
      <c r="N22" s="4">
        <v>4.3614425999999999E-8</v>
      </c>
      <c r="P22" s="3">
        <f t="shared" si="0"/>
        <v>5.5406417232006788E-8</v>
      </c>
      <c r="Q22" s="3">
        <f t="shared" si="1"/>
        <v>1.7491311155026779E-7</v>
      </c>
      <c r="R22" s="3">
        <f t="shared" si="2"/>
        <v>6.374648364726454E-8</v>
      </c>
      <c r="S22" s="3">
        <f t="shared" si="3"/>
        <v>-2.4621203920105472E-7</v>
      </c>
    </row>
    <row r="23" spans="2:19" x14ac:dyDescent="0.3">
      <c r="H23">
        <v>4500</v>
      </c>
      <c r="I23">
        <v>487.12984255391757</v>
      </c>
      <c r="J23">
        <v>377.74010481945061</v>
      </c>
      <c r="K23">
        <v>333.3843896379143</v>
      </c>
      <c r="L23">
        <v>259.92604341306162</v>
      </c>
      <c r="M23">
        <v>3</v>
      </c>
      <c r="N23" s="4">
        <v>-8.8176765988000002E-5</v>
      </c>
      <c r="P23" s="3">
        <f t="shared" si="0"/>
        <v>1.8545324564911425E-7</v>
      </c>
      <c r="Q23" s="3">
        <f t="shared" si="1"/>
        <v>9.5112227427307516E-7</v>
      </c>
      <c r="R23" s="3">
        <f t="shared" si="2"/>
        <v>-8.5608462541131303E-7</v>
      </c>
      <c r="S23" s="3">
        <f t="shared" si="3"/>
        <v>-2.9959119274280965E-7</v>
      </c>
    </row>
    <row r="24" spans="2:19" x14ac:dyDescent="0.3">
      <c r="H24">
        <v>4700</v>
      </c>
      <c r="I24">
        <v>508.44498513987844</v>
      </c>
      <c r="J24">
        <v>393.04174426704463</v>
      </c>
      <c r="K24">
        <v>345.418754204327</v>
      </c>
      <c r="L24">
        <v>269.80209851441185</v>
      </c>
      <c r="M24">
        <v>2</v>
      </c>
      <c r="N24" s="4">
        <v>4.8420491927374E-2</v>
      </c>
      <c r="P24" s="3">
        <f t="shared" si="0"/>
        <v>8.0338486441178247E-7</v>
      </c>
      <c r="Q24" s="3">
        <f t="shared" si="1"/>
        <v>7.9926394391804934E-7</v>
      </c>
      <c r="R24" s="3">
        <f t="shared" si="2"/>
        <v>-3.4593631426105276E-7</v>
      </c>
      <c r="S24" s="3">
        <f t="shared" si="3"/>
        <v>-4.1866769606713206E-8</v>
      </c>
    </row>
    <row r="25" spans="2:19" x14ac:dyDescent="0.3">
      <c r="H25">
        <v>4900</v>
      </c>
      <c r="I25">
        <v>530.37767839908531</v>
      </c>
      <c r="J25">
        <v>408.57802492600217</v>
      </c>
      <c r="K25">
        <v>357.53670514997589</v>
      </c>
      <c r="L25">
        <v>279.71592381868317</v>
      </c>
      <c r="M25">
        <v>1</v>
      </c>
      <c r="N25" s="4">
        <v>9.9183155867940496</v>
      </c>
      <c r="P25" s="3">
        <f t="shared" si="0"/>
        <v>7.773405741318129E-7</v>
      </c>
      <c r="Q25" s="3">
        <f t="shared" si="1"/>
        <v>4.1570547182345763E-7</v>
      </c>
      <c r="R25" s="3">
        <f t="shared" si="2"/>
        <v>-6.4467712945770472E-8</v>
      </c>
      <c r="S25" s="3">
        <f t="shared" si="3"/>
        <v>2.4238033802248538E-9</v>
      </c>
    </row>
    <row r="26" spans="2:19" x14ac:dyDescent="0.3">
      <c r="H26">
        <v>5100</v>
      </c>
      <c r="I26">
        <v>553.00873076848507</v>
      </c>
      <c r="J26">
        <v>424.3819880281269</v>
      </c>
      <c r="K26">
        <v>369.75663639318282</v>
      </c>
      <c r="L26">
        <v>289.67977844399798</v>
      </c>
      <c r="P26" s="3">
        <f t="shared" si="0"/>
        <v>4.3339878175174817E-7</v>
      </c>
      <c r="Q26" s="3">
        <f t="shared" si="1"/>
        <v>4.8843503464013338E-8</v>
      </c>
      <c r="R26" s="3">
        <f t="shared" si="2"/>
        <v>2.8113845473853871E-7</v>
      </c>
      <c r="S26" s="3">
        <f t="shared" si="3"/>
        <v>7.3108640208374709E-7</v>
      </c>
    </row>
    <row r="27" spans="2:19" x14ac:dyDescent="0.3">
      <c r="H27">
        <v>5300</v>
      </c>
      <c r="I27">
        <v>576.42735031950963</v>
      </c>
      <c r="J27">
        <v>440.48888013568268</v>
      </c>
      <c r="K27">
        <v>382.09734695930172</v>
      </c>
      <c r="L27">
        <v>299.70601270696551</v>
      </c>
      <c r="P27" s="3">
        <f t="shared" si="0"/>
        <v>9.2349273472791538E-7</v>
      </c>
      <c r="Q27" s="3">
        <f t="shared" si="1"/>
        <v>5.1463757699821144E-8</v>
      </c>
      <c r="R27" s="3">
        <f t="shared" si="2"/>
        <v>1.2720192898996174E-7</v>
      </c>
      <c r="S27" s="3">
        <f t="shared" si="3"/>
        <v>3.0581395549234003E-7</v>
      </c>
    </row>
    <row r="28" spans="2:19" x14ac:dyDescent="0.3">
      <c r="H28">
        <v>5500</v>
      </c>
      <c r="I28">
        <v>600.7323476212182</v>
      </c>
      <c r="J28">
        <v>456.93666623507823</v>
      </c>
      <c r="K28">
        <v>394.5782667208029</v>
      </c>
      <c r="L28">
        <v>309.80719482069361</v>
      </c>
      <c r="P28" s="3">
        <f t="shared" si="0"/>
        <v>7.7642289397772402E-7</v>
      </c>
      <c r="Q28" s="3">
        <f t="shared" si="1"/>
        <v>6.6335815063212067E-8</v>
      </c>
      <c r="R28" s="3">
        <f t="shared" si="2"/>
        <v>4.9712980398908257E-9</v>
      </c>
      <c r="S28" s="3">
        <f t="shared" si="3"/>
        <v>6.3708284869790077E-8</v>
      </c>
    </row>
    <row r="29" spans="2:19" x14ac:dyDescent="0.3">
      <c r="H29">
        <v>5700</v>
      </c>
      <c r="I29">
        <v>626.03323760040769</v>
      </c>
      <c r="J29">
        <v>473.76660364649263</v>
      </c>
      <c r="K29">
        <v>407.21969068759654</v>
      </c>
      <c r="L29">
        <v>319.99623793794262</v>
      </c>
      <c r="P29" s="3">
        <f t="shared" si="0"/>
        <v>2.1189407561905682E-7</v>
      </c>
      <c r="Q29" s="3">
        <f t="shared" si="1"/>
        <v>8.907900337362662E-7</v>
      </c>
      <c r="R29" s="3">
        <f t="shared" si="2"/>
        <v>7.0322130341082811E-8</v>
      </c>
      <c r="S29" s="3">
        <f t="shared" si="3"/>
        <v>4.440880729816854E-7</v>
      </c>
    </row>
    <row r="30" spans="2:19" x14ac:dyDescent="0.3">
      <c r="H30">
        <v>5900</v>
      </c>
      <c r="I30">
        <v>652.45104628320485</v>
      </c>
      <c r="J30">
        <v>491.02389239576956</v>
      </c>
      <c r="K30">
        <v>420.04302932584886</v>
      </c>
      <c r="L30">
        <v>330.2865315469121</v>
      </c>
      <c r="P30" s="3">
        <f t="shared" si="0"/>
        <v>2.363221938139759E-7</v>
      </c>
      <c r="Q30" s="3">
        <f t="shared" si="1"/>
        <v>2.0502920961007476E-7</v>
      </c>
      <c r="R30" s="3">
        <f t="shared" si="2"/>
        <v>2.2670974431093782E-8</v>
      </c>
      <c r="S30" s="3">
        <f t="shared" si="3"/>
        <v>7.951530278660357E-8</v>
      </c>
    </row>
    <row r="31" spans="2:19" x14ac:dyDescent="0.3">
      <c r="H31">
        <v>6100</v>
      </c>
      <c r="I31">
        <v>680.11848711229277</v>
      </c>
      <c r="J31">
        <v>508.7584214616366</v>
      </c>
      <c r="K31">
        <v>433.0710825813361</v>
      </c>
      <c r="L31">
        <v>340.69208073717095</v>
      </c>
      <c r="P31" s="3">
        <f t="shared" si="0"/>
        <v>1.8782884581014514E-7</v>
      </c>
      <c r="Q31" s="3">
        <f t="shared" si="1"/>
        <v>7.9621713666711003E-7</v>
      </c>
      <c r="R31" s="3">
        <f t="shared" si="2"/>
        <v>3.6323399399407208E-7</v>
      </c>
      <c r="S31" s="3">
        <f t="shared" si="3"/>
        <v>3.1348281481768936E-7</v>
      </c>
    </row>
    <row r="32" spans="2:19" x14ac:dyDescent="0.3">
      <c r="H32">
        <v>6300</v>
      </c>
      <c r="I32">
        <v>709.17895591570425</v>
      </c>
      <c r="J32">
        <v>527.02562738246797</v>
      </c>
      <c r="K32">
        <v>446.32834586851891</v>
      </c>
      <c r="L32">
        <v>351.22765618675828</v>
      </c>
      <c r="P32" s="3">
        <f t="shared" si="0"/>
        <v>9.8505552159622312E-8</v>
      </c>
      <c r="Q32" s="3">
        <f t="shared" si="1"/>
        <v>7.9510573414154351E-7</v>
      </c>
      <c r="R32" s="3">
        <f t="shared" si="2"/>
        <v>1.4993383956607431E-7</v>
      </c>
      <c r="S32" s="3">
        <f t="shared" si="3"/>
        <v>8.452843758277595E-7</v>
      </c>
    </row>
    <row r="33" spans="8:19" x14ac:dyDescent="0.3">
      <c r="H33">
        <v>6500</v>
      </c>
      <c r="I33">
        <v>739.78349103083735</v>
      </c>
      <c r="J33">
        <v>545.88748759218811</v>
      </c>
      <c r="K33">
        <v>459.84135854496617</v>
      </c>
      <c r="L33">
        <v>361.90895950009792</v>
      </c>
      <c r="P33" s="3">
        <f t="shared" si="0"/>
        <v>3.7885911297053099E-8</v>
      </c>
      <c r="Q33" s="3">
        <f t="shared" si="1"/>
        <v>8.9036802819464356E-8</v>
      </c>
      <c r="R33" s="3">
        <f t="shared" si="2"/>
        <v>2.5881581677822396E-7</v>
      </c>
      <c r="S33" s="3">
        <f t="shared" si="3"/>
        <v>9.2905793280806392E-8</v>
      </c>
    </row>
    <row r="34" spans="8:19" x14ac:dyDescent="0.3">
      <c r="H34">
        <v>6700</v>
      </c>
      <c r="I34">
        <v>772.08448914953601</v>
      </c>
      <c r="J34">
        <v>565.41366411844581</v>
      </c>
      <c r="K34">
        <v>473.63910591254268</v>
      </c>
      <c r="L34">
        <v>372.75280840730204</v>
      </c>
      <c r="P34" s="3">
        <f t="shared" si="0"/>
        <v>2.2538188204634935E-7</v>
      </c>
      <c r="Q34" s="3">
        <f t="shared" si="1"/>
        <v>2.4345627025468275E-7</v>
      </c>
      <c r="R34" s="3">
        <f t="shared" si="2"/>
        <v>1.5465229807887226E-7</v>
      </c>
      <c r="S34" s="3">
        <f t="shared" si="3"/>
        <v>7.104717951733619E-7</v>
      </c>
    </row>
    <row r="35" spans="8:19" x14ac:dyDescent="0.3">
      <c r="H35">
        <v>6900</v>
      </c>
      <c r="I35">
        <v>806.22468724189252</v>
      </c>
      <c r="J35">
        <v>585.68280885389015</v>
      </c>
      <c r="K35">
        <v>487.75348990426369</v>
      </c>
      <c r="L35">
        <v>383.77734596339582</v>
      </c>
      <c r="P35" s="3">
        <f t="shared" si="0"/>
        <v>1.2419695849530399E-7</v>
      </c>
      <c r="Q35" s="3">
        <f t="shared" si="1"/>
        <v>5.6406588555546477E-7</v>
      </c>
      <c r="R35" s="3">
        <f t="shared" si="2"/>
        <v>2.4851669877534732E-7</v>
      </c>
      <c r="S35" s="3">
        <f t="shared" si="3"/>
        <v>7.8412995208054781E-7</v>
      </c>
    </row>
    <row r="36" spans="8:19" x14ac:dyDescent="0.3">
      <c r="H36">
        <v>7100</v>
      </c>
      <c r="I36">
        <v>842.32007461954697</v>
      </c>
      <c r="J36">
        <v>606.78402700637776</v>
      </c>
      <c r="K36">
        <v>502.219885535515</v>
      </c>
      <c r="L36">
        <v>395.00228147285486</v>
      </c>
      <c r="P36" s="3">
        <f t="shared" si="0"/>
        <v>7.9437086242251098E-8</v>
      </c>
      <c r="Q36" s="3">
        <f t="shared" si="1"/>
        <v>6.7671862780116498E-8</v>
      </c>
      <c r="R36" s="3">
        <f t="shared" si="2"/>
        <v>8.0131576396524906E-7</v>
      </c>
      <c r="S36" s="3">
        <f t="shared" si="3"/>
        <v>4.9414211389375851E-7</v>
      </c>
    </row>
    <row r="37" spans="8:19" x14ac:dyDescent="0.3">
      <c r="H37">
        <v>7300</v>
      </c>
      <c r="I37">
        <v>880.43665883194922</v>
      </c>
      <c r="J37">
        <v>628.81846213450262</v>
      </c>
      <c r="K37">
        <v>517.07780530317473</v>
      </c>
      <c r="L37">
        <v>406.44916920956194</v>
      </c>
      <c r="P37" s="3">
        <f t="shared" si="0"/>
        <v>5.1525694289011881E-7</v>
      </c>
      <c r="Q37" s="3">
        <f t="shared" si="1"/>
        <v>6.0648562794085592E-7</v>
      </c>
      <c r="R37" s="3">
        <f t="shared" si="2"/>
        <v>8.8419892563251778E-7</v>
      </c>
      <c r="S37" s="3">
        <f t="shared" si="3"/>
        <v>4.7293906391132623E-7</v>
      </c>
    </row>
    <row r="38" spans="8:19" x14ac:dyDescent="0.3">
      <c r="H38">
        <v>7500</v>
      </c>
      <c r="I38">
        <v>920.56422810418053</v>
      </c>
      <c r="J38">
        <v>651.90090383957568</v>
      </c>
      <c r="K38">
        <v>532.37169914815581</v>
      </c>
      <c r="L38">
        <v>418.14173420725473</v>
      </c>
      <c r="P38" s="3">
        <f t="shared" si="0"/>
        <v>2.3540997062809765E-7</v>
      </c>
      <c r="Q38" s="3">
        <f t="shared" si="1"/>
        <v>2.1221603674348444E-7</v>
      </c>
      <c r="R38" s="3">
        <f t="shared" si="2"/>
        <v>2.8682461561402306E-7</v>
      </c>
      <c r="S38" s="3">
        <f t="shared" si="3"/>
        <v>1.1493011697893962E-7</v>
      </c>
    </row>
    <row r="39" spans="8:19" x14ac:dyDescent="0.3">
      <c r="H39">
        <v>7700</v>
      </c>
      <c r="I39">
        <v>962.59559276050675</v>
      </c>
      <c r="J39">
        <v>676.16121000792862</v>
      </c>
      <c r="K39">
        <v>548.15192388252774</v>
      </c>
      <c r="L39">
        <v>430.10625609816242</v>
      </c>
      <c r="P39" s="3">
        <f t="shared" si="0"/>
        <v>2.6732413971330971E-7</v>
      </c>
      <c r="Q39" s="3">
        <f t="shared" si="1"/>
        <v>1.093776518246159E-7</v>
      </c>
      <c r="R39" s="3">
        <f t="shared" si="2"/>
        <v>5.546917236642912E-7</v>
      </c>
      <c r="S39" s="3">
        <f t="shared" si="3"/>
        <v>5.7600118452683091E-7</v>
      </c>
    </row>
    <row r="40" spans="8:19" x14ac:dyDescent="0.3">
      <c r="H40">
        <v>7900</v>
      </c>
      <c r="I40">
        <v>1006.3250579469071</v>
      </c>
      <c r="J40">
        <v>701.7451312148454</v>
      </c>
      <c r="K40">
        <v>564.47592403109479</v>
      </c>
      <c r="L40">
        <v>442.37202318108694</v>
      </c>
      <c r="P40" s="3">
        <f t="shared" si="0"/>
        <v>9.8634700407274067E-8</v>
      </c>
      <c r="Q40" s="3">
        <f t="shared" si="1"/>
        <v>4.6140485210344195E-8</v>
      </c>
      <c r="R40" s="3">
        <f t="shared" si="2"/>
        <v>8.7605712906224653E-7</v>
      </c>
      <c r="S40" s="3">
        <f t="shared" si="3"/>
        <v>1.1828342394437641E-7</v>
      </c>
    </row>
    <row r="41" spans="8:19" x14ac:dyDescent="0.3">
      <c r="H41">
        <v>8100</v>
      </c>
      <c r="I41">
        <v>1051.4799126858588</v>
      </c>
      <c r="J41">
        <v>728.81379540806324</v>
      </c>
      <c r="K41">
        <v>581.4096765254443</v>
      </c>
      <c r="L41">
        <v>454.97187323304661</v>
      </c>
      <c r="P41" s="3">
        <f t="shared" si="0"/>
        <v>1.3004137144889683E-7</v>
      </c>
      <c r="Q41" s="3">
        <f t="shared" si="1"/>
        <v>4.6074273996055126E-7</v>
      </c>
      <c r="R41" s="3">
        <f t="shared" si="2"/>
        <v>2.3594020603923127E-7</v>
      </c>
      <c r="S41" s="3">
        <f t="shared" si="3"/>
        <v>1.4062607078813016E-7</v>
      </c>
    </row>
    <row r="42" spans="8:19" x14ac:dyDescent="0.3">
      <c r="H42">
        <v>8300</v>
      </c>
      <c r="I42">
        <v>1097.7894034682681</v>
      </c>
      <c r="J42">
        <v>757.54058292033642</v>
      </c>
      <c r="K42">
        <v>599.02945968204961</v>
      </c>
      <c r="L42">
        <v>467.94283787066661</v>
      </c>
      <c r="P42" s="3">
        <f t="shared" si="0"/>
        <v>1.1031261237803847E-7</v>
      </c>
      <c r="Q42" s="3">
        <f t="shared" si="1"/>
        <v>3.0870432965457439E-7</v>
      </c>
      <c r="R42" s="3">
        <f t="shared" si="2"/>
        <v>6.5614040067885071E-7</v>
      </c>
      <c r="S42" s="3">
        <f t="shared" si="3"/>
        <v>2.5810004444792867E-7</v>
      </c>
    </row>
    <row r="43" spans="8:19" x14ac:dyDescent="0.3">
      <c r="H43">
        <v>8500</v>
      </c>
      <c r="I43">
        <v>1145.0820557521427</v>
      </c>
      <c r="J43">
        <v>788.10339221423214</v>
      </c>
      <c r="K43">
        <v>617.42401233547639</v>
      </c>
      <c r="L43">
        <v>481.3269120161799</v>
      </c>
      <c r="P43" s="3">
        <f t="shared" si="0"/>
        <v>7.8159064287319779E-7</v>
      </c>
      <c r="Q43" s="3">
        <f t="shared" si="1"/>
        <v>-8.7032822193577886E-7</v>
      </c>
      <c r="R43" s="3">
        <f t="shared" si="2"/>
        <v>2.5107692636083812E-7</v>
      </c>
      <c r="S43" s="3">
        <f t="shared" si="3"/>
        <v>1.5789191820658743E-7</v>
      </c>
    </row>
    <row r="44" spans="8:19" x14ac:dyDescent="0.3">
      <c r="H44">
        <v>8700</v>
      </c>
      <c r="I44">
        <v>1193.3998764082305</v>
      </c>
      <c r="J44">
        <v>820.66950658338862</v>
      </c>
      <c r="K44">
        <v>636.69714787655084</v>
      </c>
      <c r="L44">
        <v>495.17196963229424</v>
      </c>
      <c r="P44" s="3">
        <f t="shared" si="0"/>
        <v>1.4611032383982092E-7</v>
      </c>
      <c r="Q44" s="3">
        <f t="shared" si="1"/>
        <v>5.049769242759794E-7</v>
      </c>
      <c r="R44" s="3">
        <f t="shared" si="2"/>
        <v>6.6937172960024327E-7</v>
      </c>
      <c r="S44" s="3">
        <f t="shared" si="3"/>
        <v>8.722854545339942E-7</v>
      </c>
    </row>
    <row r="45" spans="8:19" x14ac:dyDescent="0.3">
      <c r="H45">
        <v>8900</v>
      </c>
      <c r="I45">
        <v>1243.1437029934702</v>
      </c>
      <c r="J45">
        <v>855.37002291328656</v>
      </c>
      <c r="K45">
        <v>656.9708522696809</v>
      </c>
      <c r="L45">
        <v>509.53284464065081</v>
      </c>
      <c r="P45" s="3">
        <f t="shared" si="0"/>
        <v>7.6053765951655805E-7</v>
      </c>
      <c r="Q45" s="3">
        <f t="shared" si="1"/>
        <v>7.2031980380415916E-10</v>
      </c>
      <c r="R45" s="3">
        <f t="shared" si="2"/>
        <v>1.3806857168674469E-7</v>
      </c>
      <c r="S45" s="3">
        <f t="shared" si="3"/>
        <v>4.5923661673441529E-7</v>
      </c>
    </row>
    <row r="46" spans="8:19" x14ac:dyDescent="0.3">
      <c r="H46">
        <v>9100</v>
      </c>
      <c r="I46">
        <v>1295.3436179129264</v>
      </c>
      <c r="J46">
        <v>892.26254301781546</v>
      </c>
      <c r="K46">
        <v>678.38880702397569</v>
      </c>
      <c r="L46">
        <v>524.47258741956898</v>
      </c>
      <c r="P46" s="3">
        <f t="shared" si="0"/>
        <v>5.0388734962325543E-7</v>
      </c>
      <c r="Q46" s="3">
        <f t="shared" si="1"/>
        <v>5.8334990171715617E-8</v>
      </c>
      <c r="R46" s="3">
        <f t="shared" si="2"/>
        <v>9.3809103418607265E-7</v>
      </c>
      <c r="S46" s="3">
        <f t="shared" si="3"/>
        <v>9.2827394837513566E-7</v>
      </c>
    </row>
    <row r="47" spans="8:19" x14ac:dyDescent="0.3">
      <c r="H47">
        <v>9300</v>
      </c>
      <c r="I47">
        <v>1352.4389313170932</v>
      </c>
      <c r="J47">
        <v>931.28670495277254</v>
      </c>
      <c r="K47">
        <v>701.12004132313712</v>
      </c>
      <c r="L47">
        <v>540.06387777916711</v>
      </c>
      <c r="P47" s="3">
        <f t="shared" si="0"/>
        <v>2.5151166482828557E-7</v>
      </c>
      <c r="Q47" s="3">
        <f t="shared" si="1"/>
        <v>8.9324385044164956E-7</v>
      </c>
      <c r="R47" s="3">
        <f t="shared" si="2"/>
        <v>1.7099046090152115E-7</v>
      </c>
      <c r="S47" s="3">
        <f t="shared" si="3"/>
        <v>9.5148425316438079E-7</v>
      </c>
    </row>
    <row r="48" spans="8:19" x14ac:dyDescent="0.3">
      <c r="H48">
        <v>9500</v>
      </c>
      <c r="I48">
        <v>1618.0989425748355</v>
      </c>
      <c r="J48">
        <v>972.22805192819533</v>
      </c>
      <c r="K48">
        <v>725.36190050260825</v>
      </c>
      <c r="L48">
        <v>556.3905187588706</v>
      </c>
      <c r="P48" s="3">
        <f t="shared" si="0"/>
        <v>1.3033240975346416E-7</v>
      </c>
      <c r="Q48" s="3">
        <f t="shared" si="1"/>
        <v>8.8321576185990125E-7</v>
      </c>
      <c r="R48" s="3">
        <f t="shared" si="2"/>
        <v>8.3965460362378508E-7</v>
      </c>
      <c r="S48" s="3">
        <f t="shared" si="3"/>
        <v>8.7753505795262754E-7</v>
      </c>
    </row>
    <row r="49" spans="8:19" x14ac:dyDescent="0.3">
      <c r="H49">
        <v>9700</v>
      </c>
      <c r="I49">
        <v>1528.7636320170022</v>
      </c>
      <c r="J49">
        <v>1014.7161894375316</v>
      </c>
      <c r="K49">
        <v>751.34038982058769</v>
      </c>
      <c r="L49">
        <v>573.54880487978676</v>
      </c>
      <c r="P49" s="3">
        <f>-0.000000000007303*I49^5+0.000000031342148*I49^4+-0.000048542764434*I49^3+0.028915865779595*I49^2+3.45925155053555*I49-H49</f>
        <v>-57.897850693279906</v>
      </c>
      <c r="Q49" s="3">
        <f t="shared" si="1"/>
        <v>1.739754225127399E-7</v>
      </c>
      <c r="R49" s="3">
        <f t="shared" si="2"/>
        <v>2.5871122488752007E-7</v>
      </c>
      <c r="S49" s="3">
        <f t="shared" si="3"/>
        <v>6.0790625866502523E-9</v>
      </c>
    </row>
    <row r="50" spans="8:19" x14ac:dyDescent="0.3">
      <c r="H50">
        <v>9900</v>
      </c>
      <c r="I50">
        <v>1528.7636320170022</v>
      </c>
      <c r="J50">
        <v>1058.2793489481508</v>
      </c>
      <c r="K50">
        <v>779.30371726743988</v>
      </c>
      <c r="L50">
        <v>591.64830325751086</v>
      </c>
      <c r="P50" s="3">
        <f>-0.000000000007303*I50^5+0.000000031342148*I50^4+-0.000048542764434*I50^3+0.028915865779595*I50^2+3.45925155053555*I50-H50</f>
        <v>-257.89785069327991</v>
      </c>
      <c r="Q50" s="3">
        <f t="shared" si="1"/>
        <v>4.5416527427732944E-8</v>
      </c>
      <c r="R50" s="3">
        <f t="shared" si="2"/>
        <v>2.5319604901596904E-7</v>
      </c>
      <c r="S50" s="3">
        <f t="shared" si="3"/>
        <v>-7.0023452281020582E-7</v>
      </c>
    </row>
    <row r="51" spans="8:19" x14ac:dyDescent="0.3">
      <c r="H51">
        <v>10100</v>
      </c>
      <c r="I51">
        <v>1528.7636320170022</v>
      </c>
      <c r="J51">
        <v>1102.4506549730911</v>
      </c>
      <c r="K51">
        <v>809.50079476214842</v>
      </c>
      <c r="L51">
        <v>610.81108283246726</v>
      </c>
      <c r="P51" s="3">
        <f>-0.000000000007303*I51^5+0.000000031342148*I51^4+-0.000048542764434*I51^3+0.028915865779595*I51^2+3.45925155053555*I51-H51</f>
        <v>-457.89785069327991</v>
      </c>
      <c r="Q51" s="3">
        <f t="shared" si="1"/>
        <v>1.0299845598638058E-7</v>
      </c>
      <c r="R51" s="3">
        <f t="shared" si="2"/>
        <v>3.6903111322317272E-7</v>
      </c>
      <c r="S51" s="3">
        <f t="shared" si="3"/>
        <v>-1.1025076673831791E-7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liuru</dc:creator>
  <cp:lastModifiedBy>liuru</cp:lastModifiedBy>
  <dcterms:created xsi:type="dcterms:W3CDTF">2019-05-09T16:11:24Z</dcterms:created>
  <dcterms:modified xsi:type="dcterms:W3CDTF">2019-05-11T02:21:31Z</dcterms:modified>
</cp:coreProperties>
</file>